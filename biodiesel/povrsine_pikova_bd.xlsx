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astava\diplomski radovi\2024 Latinkic Darko disertacija\Tema doktorata FTIR oksidacija\rezultati biodizel\"/>
    </mc:Choice>
  </mc:AlternateContent>
  <xr:revisionPtr revIDLastSave="0" documentId="13_ncr:1_{23042C37-1391-4646-8920-7BCA617117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7" i="1" l="1"/>
  <c r="H97" i="1"/>
  <c r="G96" i="1"/>
  <c r="H96" i="1"/>
  <c r="H95" i="1"/>
  <c r="G95" i="1"/>
  <c r="G91" i="1"/>
  <c r="H91" i="1"/>
  <c r="G90" i="1"/>
  <c r="H90" i="1"/>
  <c r="G89" i="1"/>
  <c r="H89" i="1"/>
  <c r="H88" i="1"/>
  <c r="G88" i="1"/>
  <c r="H87" i="1"/>
  <c r="G87" i="1"/>
  <c r="G80" i="1"/>
  <c r="H80" i="1"/>
  <c r="G78" i="1"/>
  <c r="H78" i="1"/>
  <c r="G79" i="1"/>
  <c r="H79" i="1"/>
  <c r="H77" i="1"/>
  <c r="G77" i="1"/>
  <c r="H71" i="1"/>
  <c r="G71" i="1"/>
  <c r="G62" i="1"/>
  <c r="G69" i="1"/>
  <c r="H69" i="1"/>
  <c r="G70" i="1"/>
  <c r="H70" i="1"/>
  <c r="H67" i="1"/>
  <c r="H68" i="1"/>
  <c r="G68" i="1"/>
  <c r="G67" i="1"/>
  <c r="G61" i="1"/>
  <c r="H61" i="1"/>
  <c r="H62" i="1"/>
  <c r="G60" i="1"/>
  <c r="H60" i="1"/>
  <c r="H59" i="1"/>
  <c r="G59" i="1"/>
  <c r="H55" i="1"/>
  <c r="G55" i="1"/>
  <c r="H54" i="1"/>
  <c r="G54" i="1"/>
  <c r="H51" i="1"/>
  <c r="H53" i="1"/>
  <c r="G53" i="1"/>
  <c r="H52" i="1"/>
  <c r="G52" i="1"/>
  <c r="G51" i="1"/>
  <c r="H45" i="1"/>
  <c r="H47" i="1"/>
  <c r="G47" i="1"/>
  <c r="H46" i="1"/>
  <c r="G46" i="1"/>
  <c r="G45" i="1"/>
  <c r="H35" i="1"/>
  <c r="H40" i="1"/>
  <c r="G40" i="1"/>
  <c r="H39" i="1"/>
  <c r="G39" i="1"/>
  <c r="H38" i="1"/>
  <c r="G38" i="1"/>
  <c r="H37" i="1"/>
  <c r="G37" i="1"/>
  <c r="H36" i="1"/>
  <c r="G36" i="1"/>
  <c r="G35" i="1"/>
  <c r="H24" i="1"/>
  <c r="H25" i="1"/>
  <c r="H26" i="1"/>
  <c r="H27" i="1"/>
  <c r="H28" i="1"/>
  <c r="H29" i="1"/>
  <c r="H23" i="1"/>
  <c r="G29" i="1"/>
  <c r="G28" i="1"/>
  <c r="G27" i="1"/>
  <c r="G26" i="1"/>
  <c r="G25" i="1"/>
  <c r="G24" i="1"/>
  <c r="G23" i="1"/>
  <c r="H20" i="1"/>
  <c r="H19" i="1"/>
  <c r="G20" i="1"/>
  <c r="G19" i="1"/>
  <c r="G18" i="1"/>
  <c r="H18" i="1"/>
  <c r="G15" i="1"/>
  <c r="G16" i="1"/>
  <c r="G17" i="1"/>
  <c r="G14" i="1"/>
  <c r="H15" i="1"/>
  <c r="H16" i="1"/>
  <c r="H17" i="1"/>
  <c r="H14" i="1"/>
  <c r="G7" i="1"/>
  <c r="G8" i="1"/>
  <c r="G9" i="1"/>
  <c r="G10" i="1"/>
  <c r="G11" i="1"/>
  <c r="G12" i="1"/>
  <c r="G6" i="1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<sst xmlns="http://schemas.openxmlformats.org/spreadsheetml/2006/main" count="89" uniqueCount="81">
  <si>
    <t>A2</t>
  </si>
  <si>
    <t>ratio*1000 radi lakšeg praćenja</t>
  </si>
  <si>
    <t>Unosim površinu pika 3008, površinu pika 3050-2750 i njihov odnos. Pre toga je podešen baseline prema ASTM D7414</t>
  </si>
  <si>
    <t>bd_0</t>
  </si>
  <si>
    <t>A1, 3008</t>
  </si>
  <si>
    <t>bd_1</t>
  </si>
  <si>
    <t>bd_2</t>
  </si>
  <si>
    <t>bd_3</t>
  </si>
  <si>
    <t>bd_4</t>
  </si>
  <si>
    <t>bd_5</t>
  </si>
  <si>
    <t>bd_6</t>
  </si>
  <si>
    <t>minuti zagrevanja</t>
  </si>
  <si>
    <t>sati zagrevanja</t>
  </si>
  <si>
    <t>mas_0</t>
  </si>
  <si>
    <t>mas_1</t>
  </si>
  <si>
    <t>mas_2</t>
  </si>
  <si>
    <t>mas_3</t>
  </si>
  <si>
    <t>mas_4</t>
  </si>
  <si>
    <t>mas_5</t>
  </si>
  <si>
    <t>mas_6</t>
  </si>
  <si>
    <t>Isti uzorci, ali smanjen opseg alkenskog pika 3020-3000. Da, mnogo se lepse vidi indukcioni period.</t>
  </si>
  <si>
    <t>procenat ratia</t>
  </si>
  <si>
    <t>VAŽNO: kad dostigne indukcioni period, dolazi i do povećanja na 1740 i levo od alkena (peroksidi), dakle mogu po tri parametra da pratim oksidaciju!</t>
  </si>
  <si>
    <t>Dalje radim sa tim smanjenim opsegom, 3020-3000</t>
  </si>
  <si>
    <t>drugomas_0</t>
  </si>
  <si>
    <t>drugomas_1</t>
  </si>
  <si>
    <t>drugomas_2</t>
  </si>
  <si>
    <t>drugomas_3</t>
  </si>
  <si>
    <t>drugomas_4</t>
  </si>
  <si>
    <t>drugomas_5</t>
  </si>
  <si>
    <t>Drugo merenje, tražim ponavljanje rezultata i tražim preciznije ind period.</t>
  </si>
  <si>
    <t>trecemas_0</t>
  </si>
  <si>
    <t>trecemas_1</t>
  </si>
  <si>
    <t>trecemas_2</t>
  </si>
  <si>
    <t>Ceo proračun je u colab fajlu biodiesel. Ovo je ulje od Jelena, nekim cudom je ind period bio samo 20h.</t>
  </si>
  <si>
    <t>Trece merenje, pocetno vreme  Sep 23 14:58</t>
  </si>
  <si>
    <t>Smanjena masa uzorka na otprilike 2 ml. Zato je kraci ind period.</t>
  </si>
  <si>
    <t>Ind period kraci od 24 h. Vidi se porast peroksida i karbonila, a C=C veza samo 37%. Zato dalje idem sa 1.5 ml uzorka.</t>
  </si>
  <si>
    <t>Cetvrto merenje, pocetno vreme Sep 24 16:02</t>
  </si>
  <si>
    <t>Masa uzorka 1.4 ml i ocekujem ind vreme krace od 24h.</t>
  </si>
  <si>
    <t>cetvrtomas_0</t>
  </si>
  <si>
    <t>cetvrtomas_1</t>
  </si>
  <si>
    <t>cetvrtomas_2</t>
  </si>
  <si>
    <t>cetvrtomas_3</t>
  </si>
  <si>
    <t>cetvrtomas_4</t>
  </si>
  <si>
    <t xml:space="preserve">Prvi aditiv, oznaka na bočici 16. Grejanje 140, mešanje 4. </t>
  </si>
  <si>
    <t>ad16_0</t>
  </si>
  <si>
    <t>ad16_1</t>
  </si>
  <si>
    <t>ad16_2</t>
  </si>
  <si>
    <t>Početno vreme Oct 01 13:55</t>
  </si>
  <si>
    <t>ad16_3</t>
  </si>
  <si>
    <t>Zapremina: 1 ml. Cilj mi je dobiti što kraći ind period, da se uklapam u 24h.</t>
  </si>
  <si>
    <t xml:space="preserve">Prvi aditiv, oznaka na bočici 16, ali oznake merenja ad17, čisto da se razlikuje broj merenja. Grejanje 140, mešanje 4. </t>
  </si>
  <si>
    <t>ad17_0</t>
  </si>
  <si>
    <t>ad17_1</t>
  </si>
  <si>
    <t>Početno vreme Oct 05 11:29</t>
  </si>
  <si>
    <t>ad17_2</t>
  </si>
  <si>
    <t>ad17_3</t>
  </si>
  <si>
    <t>ad17_4</t>
  </si>
  <si>
    <t xml:space="preserve">Prvi aditiv, oznaka na bočici 16, ali oznake merenja ad18, čisto da se razlikuje broj merenja. Grejanje 140, mešanje 4. </t>
  </si>
  <si>
    <t>Početno vreme Oct 07 10:04</t>
  </si>
  <si>
    <t>ad18_0</t>
  </si>
  <si>
    <t>ad18_1</t>
  </si>
  <si>
    <t>ad18_2</t>
  </si>
  <si>
    <t>ad18_3</t>
  </si>
  <si>
    <t>25 sati i ne mrda. Moram ponoviti sa ovim aditivom jos barem dva puta. Ostavljeno hladno preko vikenda.</t>
  </si>
  <si>
    <t xml:space="preserve">Prvi aditiv, oznaka na bočici 16, ali oznake merenja ad19, čisto da se razlikuje broj merenja. Grejanje 140, mešanje 4. </t>
  </si>
  <si>
    <t>Zapremina: 0.9 ml. Cilj mi je dobiti što kraći ind period, da se uklapam u 24h.</t>
  </si>
  <si>
    <t>ad19_0</t>
  </si>
  <si>
    <t>ad19_1</t>
  </si>
  <si>
    <t>Početno vreme Oct 12 10:16</t>
  </si>
  <si>
    <t>ad19_2</t>
  </si>
  <si>
    <t>ad19_3</t>
  </si>
  <si>
    <t>ad19_4</t>
  </si>
  <si>
    <t>Lepo se vidi prvi pad na 25-27h, ali i dalje je na 93%. Izgleda radi aditiv.</t>
  </si>
  <si>
    <t>Ni posle 29h se nije spustilo ispod 93%. Dakle aditiv radi. Dalje trazim ind period bez aditiva.</t>
  </si>
  <si>
    <t>Čisto maslinovo ulje iz flaše, 0.9 ml, 140 st, mešanje 4, bez aditiva</t>
  </si>
  <si>
    <t>Početno vreme  Oct 15 12:57</t>
  </si>
  <si>
    <t>petomas_0</t>
  </si>
  <si>
    <t>petomas_1</t>
  </si>
  <si>
    <t>petomas_2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</si>
</sst>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556202911787875E-2"/>
          <c:y val="2.7740009440869101E-2"/>
          <c:w val="0.87303342302192666"/>
          <c:h val="0.695513678324058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Sheet1!$G$6:$G$12</c:f>
              <c:numCache>
                <c:formatCode>General</c:formatCode>
                <c:ptCount val="7"/>
                <c:pt idx="0">
                  <c:v>0</c:v>
                </c:pt>
                <c:pt idx="1">
                  <c:v>0.76666666666666672</c:v>
                </c:pt>
                <c:pt idx="2">
                  <c:v>1.1166666666666667</c:v>
                </c:pt>
                <c:pt idx="3">
                  <c:v>20.25</c:v>
                </c:pt>
                <c:pt idx="4">
                  <c:v>25.083333333333332</c:v>
                </c:pt>
                <c:pt idx="5">
                  <c:v>25.166666666666668</c:v>
                </c:pt>
                <c:pt idx="6">
                  <c:v>43.93333333333333</c:v>
                </c:pt>
              </c:numCache>
            </c:numRef>
          </c:xVal>
          <c:yVal>
            <c:numRef>
              <c:f>Sheet1!$H$6:$H$12</c:f>
              <c:numCache>
                <c:formatCode>General</c:formatCode>
                <c:ptCount val="7"/>
                <c:pt idx="0">
                  <c:v>100</c:v>
                </c:pt>
                <c:pt idx="1">
                  <c:v>100.70326958667491</c:v>
                </c:pt>
                <c:pt idx="2">
                  <c:v>100.0308451573103</c:v>
                </c:pt>
                <c:pt idx="3">
                  <c:v>62.544725478099942</c:v>
                </c:pt>
                <c:pt idx="4">
                  <c:v>64.753238741517578</c:v>
                </c:pt>
                <c:pt idx="5">
                  <c:v>65.780382479950646</c:v>
                </c:pt>
                <c:pt idx="6">
                  <c:v>60.817396668722999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0-4B5B-AAD7-B89AA3C1C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97568"/>
        <c:axId val="1029301312"/>
      </c:scatterChart>
      <c:valAx>
        <c:axId val="102929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301312"/>
        <c:crosses val="autoZero"/>
        <c:crossBetween val="midCat"/>
      </c:valAx>
      <c:valAx>
        <c:axId val="1029301312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29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75161282409793"/>
          <c:y val="0.17450615080097889"/>
          <c:w val="0.7564539946525376"/>
          <c:h val="0.6239886025856209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Sheet1!$G$14:$G$20</c:f>
              <c:numCache>
                <c:formatCode>General</c:formatCode>
                <c:ptCount val="7"/>
                <c:pt idx="0">
                  <c:v>0</c:v>
                </c:pt>
                <c:pt idx="1">
                  <c:v>0.43333333333333335</c:v>
                </c:pt>
                <c:pt idx="2">
                  <c:v>1.1666666666666667</c:v>
                </c:pt>
                <c:pt idx="3">
                  <c:v>3.8833333333333333</c:v>
                </c:pt>
                <c:pt idx="4">
                  <c:v>9.7666666666666675</c:v>
                </c:pt>
                <c:pt idx="5">
                  <c:v>23.05</c:v>
                </c:pt>
                <c:pt idx="6">
                  <c:v>46.1</c:v>
                </c:pt>
              </c:numCache>
            </c:numRef>
          </c:xVal>
          <c:yVal>
            <c:numRef>
              <c:f>Sheet1!$H$14:$H$20</c:f>
              <c:numCache>
                <c:formatCode>General</c:formatCode>
                <c:ptCount val="7"/>
                <c:pt idx="0">
                  <c:v>100</c:v>
                </c:pt>
                <c:pt idx="1">
                  <c:v>88.45580110497238</c:v>
                </c:pt>
                <c:pt idx="2">
                  <c:v>84.444751381215454</c:v>
                </c:pt>
                <c:pt idx="3">
                  <c:v>79.897790055248606</c:v>
                </c:pt>
                <c:pt idx="4">
                  <c:v>77.527624309392266</c:v>
                </c:pt>
                <c:pt idx="5">
                  <c:v>81.729281767955783</c:v>
                </c:pt>
                <c:pt idx="6">
                  <c:v>39.922651933701651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C-4433-BBE3-DD3A6C8DE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868863"/>
        <c:axId val="1179871359"/>
      </c:scatterChart>
      <c:valAx>
        <c:axId val="117986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1359"/>
        <c:crosses val="autoZero"/>
        <c:crossBetween val="midCat"/>
      </c:valAx>
      <c:valAx>
        <c:axId val="1179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Sheet1!$G$23:$G$29</c:f>
              <c:numCache>
                <c:formatCode>General</c:formatCode>
                <c:ptCount val="7"/>
                <c:pt idx="0">
                  <c:v>0</c:v>
                </c:pt>
                <c:pt idx="1">
                  <c:v>0.43333333333333335</c:v>
                </c:pt>
                <c:pt idx="2">
                  <c:v>1.1666666666666667</c:v>
                </c:pt>
                <c:pt idx="3">
                  <c:v>3.8833333333333333</c:v>
                </c:pt>
                <c:pt idx="4">
                  <c:v>9.7666666666666675</c:v>
                </c:pt>
                <c:pt idx="5">
                  <c:v>23.05</c:v>
                </c:pt>
                <c:pt idx="6">
                  <c:v>46.1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100</c:v>
                </c:pt>
                <c:pt idx="1">
                  <c:v>85.481983111779954</c:v>
                </c:pt>
                <c:pt idx="2">
                  <c:v>83.295711060948079</c:v>
                </c:pt>
                <c:pt idx="3">
                  <c:v>77.623108435749515</c:v>
                </c:pt>
                <c:pt idx="4">
                  <c:v>79.044394281414583</c:v>
                </c:pt>
                <c:pt idx="5">
                  <c:v>79.738316194298136</c:v>
                </c:pt>
                <c:pt idx="6">
                  <c:v>28.93988796923334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5-4E90-8290-37E6188C6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770271"/>
        <c:axId val="1180767359"/>
      </c:scatterChart>
      <c:valAx>
        <c:axId val="118077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67359"/>
        <c:crosses val="autoZero"/>
        <c:crossBetween val="midCat"/>
      </c:valAx>
      <c:valAx>
        <c:axId val="1180767359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7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Sheet1!$G$35:$G$40</c:f>
              <c:numCache>
                <c:formatCode>General</c:formatCode>
                <c:ptCount val="6"/>
                <c:pt idx="0">
                  <c:v>0</c:v>
                </c:pt>
                <c:pt idx="1">
                  <c:v>6.4833333333333334</c:v>
                </c:pt>
                <c:pt idx="2">
                  <c:v>24.15</c:v>
                </c:pt>
                <c:pt idx="3">
                  <c:v>31.266666666666666</c:v>
                </c:pt>
                <c:pt idx="4">
                  <c:v>47.75</c:v>
                </c:pt>
                <c:pt idx="5">
                  <c:v>54.4</c:v>
                </c:pt>
              </c:numCache>
            </c:numRef>
          </c:xVal>
          <c:yVal>
            <c:numRef>
              <c:f>Sheet1!$H$35:$H$40</c:f>
              <c:numCache>
                <c:formatCode>General</c:formatCode>
                <c:ptCount val="6"/>
                <c:pt idx="0">
                  <c:v>100</c:v>
                </c:pt>
                <c:pt idx="1">
                  <c:v>82.426218543600029</c:v>
                </c:pt>
                <c:pt idx="2">
                  <c:v>75.67929102917816</c:v>
                </c:pt>
                <c:pt idx="3">
                  <c:v>80.311010785051423</c:v>
                </c:pt>
                <c:pt idx="4">
                  <c:v>55.175152579215784</c:v>
                </c:pt>
                <c:pt idx="5">
                  <c:v>51.492350137948328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E-4EF1-A0B0-3F9CA5A4A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437104"/>
        <c:axId val="392437520"/>
      </c:scatterChart>
      <c:valAx>
        <c:axId val="39243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37520"/>
        <c:crosses val="autoZero"/>
        <c:crossBetween val="midCat"/>
      </c:valAx>
      <c:valAx>
        <c:axId val="392437520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3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45E-2"/>
          <c:y val="7.407407407407407E-2"/>
          <c:w val="0.87753018372703417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Sheet1!$G$45:$G$47</c:f>
              <c:numCache>
                <c:formatCode>General</c:formatCode>
                <c:ptCount val="3"/>
                <c:pt idx="0">
                  <c:v>0</c:v>
                </c:pt>
                <c:pt idx="1">
                  <c:v>16.649999999999999</c:v>
                </c:pt>
                <c:pt idx="2">
                  <c:v>24.816666666666666</c:v>
                </c:pt>
              </c:numCache>
            </c:numRef>
          </c:xVal>
          <c:yVal>
            <c:numRef>
              <c:f>Sheet1!$H$45:$H$47</c:f>
              <c:numCache>
                <c:formatCode>General</c:formatCode>
                <c:ptCount val="3"/>
                <c:pt idx="0">
                  <c:v>100</c:v>
                </c:pt>
                <c:pt idx="1">
                  <c:v>83.287350555973575</c:v>
                </c:pt>
                <c:pt idx="2">
                  <c:v>37.655714405150064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C-4FF7-A9E3-FAA8A76B7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74895"/>
        <c:axId val="294276143"/>
      </c:scatterChart>
      <c:valAx>
        <c:axId val="29427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76143"/>
        <c:crosses val="autoZero"/>
        <c:crossBetween val="midCat"/>
      </c:valAx>
      <c:valAx>
        <c:axId val="294276143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7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Sheet1!$G$51:$G$55</c:f>
              <c:numCache>
                <c:formatCode>General</c:formatCode>
                <c:ptCount val="5"/>
                <c:pt idx="0">
                  <c:v>0</c:v>
                </c:pt>
                <c:pt idx="1">
                  <c:v>16.8</c:v>
                </c:pt>
                <c:pt idx="2">
                  <c:v>19.766666666666666</c:v>
                </c:pt>
                <c:pt idx="3">
                  <c:v>21.516666666666666</c:v>
                </c:pt>
                <c:pt idx="4">
                  <c:v>24.133333333333333</c:v>
                </c:pt>
              </c:numCache>
            </c:numRef>
          </c:xVal>
          <c:yVal>
            <c:numRef>
              <c:f>Sheet1!$H$51:$H$55</c:f>
              <c:numCache>
                <c:formatCode>General</c:formatCode>
                <c:ptCount val="5"/>
                <c:pt idx="0">
                  <c:v>100</c:v>
                </c:pt>
                <c:pt idx="1">
                  <c:v>78.860463171975582</c:v>
                </c:pt>
                <c:pt idx="2">
                  <c:v>83.128500961458059</c:v>
                </c:pt>
                <c:pt idx="3">
                  <c:v>82.493102583396038</c:v>
                </c:pt>
                <c:pt idx="4">
                  <c:v>73.597525290527557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8-4FE6-9826-E20DDE664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513503"/>
        <c:axId val="983513919"/>
      </c:scatterChart>
      <c:valAx>
        <c:axId val="983513503"/>
        <c:scaling>
          <c:orientation val="minMax"/>
          <c:max val="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13919"/>
        <c:crosses val="autoZero"/>
        <c:crossBetween val="midCat"/>
      </c:valAx>
      <c:valAx>
        <c:axId val="983513919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1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Sheet1!$G$59:$G$62</c:f>
              <c:numCache>
                <c:formatCode>General</c:formatCode>
                <c:ptCount val="4"/>
                <c:pt idx="0">
                  <c:v>0</c:v>
                </c:pt>
                <c:pt idx="1">
                  <c:v>22.3</c:v>
                </c:pt>
                <c:pt idx="2">
                  <c:v>25.416666666666668</c:v>
                </c:pt>
                <c:pt idx="3">
                  <c:v>89.783333333333331</c:v>
                </c:pt>
              </c:numCache>
            </c:numRef>
          </c:xVal>
          <c:yVal>
            <c:numRef>
              <c:f>Sheet1!$H$59:$H$62</c:f>
              <c:numCache>
                <c:formatCode>General</c:formatCode>
                <c:ptCount val="4"/>
                <c:pt idx="0">
                  <c:v>100</c:v>
                </c:pt>
                <c:pt idx="1">
                  <c:v>95.312040756343691</c:v>
                </c:pt>
                <c:pt idx="2">
                  <c:v>85.142549230919954</c:v>
                </c:pt>
                <c:pt idx="3">
                  <c:v>31.840893504457725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2-42F4-BE17-50C36133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4752"/>
        <c:axId val="175897216"/>
      </c:scatterChart>
      <c:valAx>
        <c:axId val="17587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7216"/>
        <c:crosses val="autoZero"/>
        <c:crossBetween val="midCat"/>
      </c:valAx>
      <c:valAx>
        <c:axId val="1758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7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Sheet1!$G$67:$G$71</c:f>
              <c:numCache>
                <c:formatCode>General</c:formatCode>
                <c:ptCount val="5"/>
                <c:pt idx="0">
                  <c:v>0</c:v>
                </c:pt>
                <c:pt idx="1">
                  <c:v>20.666666666666668</c:v>
                </c:pt>
                <c:pt idx="2">
                  <c:v>24</c:v>
                </c:pt>
                <c:pt idx="3">
                  <c:v>26.166666666666668</c:v>
                </c:pt>
                <c:pt idx="4">
                  <c:v>28.183333333333334</c:v>
                </c:pt>
              </c:numCache>
            </c:numRef>
          </c:xVal>
          <c:yVal>
            <c:numRef>
              <c:f>Sheet1!$H$67:$H$71</c:f>
              <c:numCache>
                <c:formatCode>General</c:formatCode>
                <c:ptCount val="5"/>
                <c:pt idx="0">
                  <c:v>100</c:v>
                </c:pt>
                <c:pt idx="1">
                  <c:v>95.429607132360147</c:v>
                </c:pt>
                <c:pt idx="2">
                  <c:v>87.915156265308113</c:v>
                </c:pt>
                <c:pt idx="3">
                  <c:v>72.322915646125196</c:v>
                </c:pt>
                <c:pt idx="4">
                  <c:v>46.752228862545309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D-47BD-A30D-2BB6D667D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05151"/>
        <c:axId val="370991423"/>
      </c:scatterChart>
      <c:valAx>
        <c:axId val="37100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91423"/>
        <c:crosses val="autoZero"/>
        <c:crossBetween val="midCat"/>
      </c:valAx>
      <c:valAx>
        <c:axId val="370991423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Sheet1!$G$87:$G$91</c:f>
              <c:numCache>
                <c:formatCode>General</c:formatCode>
                <c:ptCount val="5"/>
                <c:pt idx="0">
                  <c:v>0</c:v>
                </c:pt>
                <c:pt idx="1">
                  <c:v>22.2</c:v>
                </c:pt>
                <c:pt idx="2">
                  <c:v>25.016666666666666</c:v>
                </c:pt>
                <c:pt idx="3">
                  <c:v>27.883333333333333</c:v>
                </c:pt>
                <c:pt idx="4">
                  <c:v>29.6</c:v>
                </c:pt>
              </c:numCache>
            </c:numRef>
          </c:xVal>
          <c:yVal>
            <c:numRef>
              <c:f>Sheet1!$H$87:$H$91</c:f>
              <c:numCache>
                <c:formatCode>General</c:formatCode>
                <c:ptCount val="5"/>
                <c:pt idx="0">
                  <c:v>100</c:v>
                </c:pt>
                <c:pt idx="1">
                  <c:v>98.039605930938407</c:v>
                </c:pt>
                <c:pt idx="2">
                  <c:v>98.517265399542254</c:v>
                </c:pt>
                <c:pt idx="3">
                  <c:v>93.666036421534486</c:v>
                </c:pt>
                <c:pt idx="4">
                  <c:v>93.412279828838692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0-4C17-92EC-56D2199D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785200"/>
        <c:axId val="1158787280"/>
      </c:scatterChart>
      <c:valAx>
        <c:axId val="115878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87280"/>
        <c:crosses val="autoZero"/>
        <c:crossBetween val="midCat"/>
      </c:valAx>
      <c:valAx>
        <c:axId val="11587872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78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Sheet1!$G$77:$G$80</c:f>
              <c:numCache>
                <c:formatCode>General</c:formatCode>
                <c:ptCount val="4"/>
                <c:pt idx="0">
                  <c:v>0</c:v>
                </c:pt>
                <c:pt idx="1">
                  <c:v>21.466666666666665</c:v>
                </c:pt>
                <c:pt idx="2">
                  <c:v>23.933333333333334</c:v>
                </c:pt>
                <c:pt idx="3">
                  <c:v>25.433333333333334</c:v>
                </c:pt>
              </c:numCache>
            </c:numRef>
          </c:xVal>
          <c:yVal>
            <c:numRef>
              <c:f>Sheet1!$H$77:$H$80</c:f>
              <c:numCache>
                <c:formatCode>General</c:formatCode>
                <c:ptCount val="4"/>
                <c:pt idx="0">
                  <c:v>100</c:v>
                </c:pt>
                <c:pt idx="1">
                  <c:v>87.76376907763769</c:v>
                </c:pt>
                <c:pt idx="2">
                  <c:v>87.224065472240653</c:v>
                </c:pt>
                <c:pt idx="3">
                  <c:v>88.117673081176733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A-46DD-ABA6-3CBC6A75C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077967"/>
        <c:axId val="1037080047"/>
      </c:scatterChart>
      <c:valAx>
        <c:axId val="10370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80047"/>
        <c:crosses val="autoZero"/>
        <c:crossBetween val="midCat"/>
      </c:valAx>
      <c:valAx>
        <c:axId val="10370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3</xdr:row>
      <xdr:rowOff>180976</xdr:rowOff>
    </xdr:from>
    <xdr:to>
      <xdr:col>13</xdr:col>
      <xdr:colOff>238125</xdr:colOff>
      <xdr:row>11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1FF48-93BD-48B6-B0A6-C0FB4A5A7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12</xdr:row>
      <xdr:rowOff>171450</xdr:rowOff>
    </xdr:from>
    <xdr:to>
      <xdr:col>12</xdr:col>
      <xdr:colOff>209551</xdr:colOff>
      <xdr:row>20</xdr:row>
      <xdr:rowOff>109536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C21384-74A0-4CB4-817A-0DF68941A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581025</xdr:colOff>
      <xdr:row>21</xdr:row>
      <xdr:rowOff>0</xdr:rowOff>
    </xdr:from>
    <xdr:to>
      <xdr:col>13</xdr:col>
      <xdr:colOff>219075</xdr:colOff>
      <xdr:row>29</xdr:row>
      <xdr:rowOff>14286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78853F-1475-42E5-9628-4B80BE2A6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9526</xdr:colOff>
      <xdr:row>33</xdr:row>
      <xdr:rowOff>38100</xdr:rowOff>
    </xdr:from>
    <xdr:to>
      <xdr:col>13</xdr:col>
      <xdr:colOff>152400</xdr:colOff>
      <xdr:row>41</xdr:row>
      <xdr:rowOff>23811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8ECB31-2FB9-490E-B26A-42AE16199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581025</xdr:colOff>
      <xdr:row>42</xdr:row>
      <xdr:rowOff>19050</xdr:rowOff>
    </xdr:from>
    <xdr:to>
      <xdr:col>11</xdr:col>
      <xdr:colOff>590550</xdr:colOff>
      <xdr:row>48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F64875-CA1D-4F52-82C3-66D675D16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600075</xdr:colOff>
      <xdr:row>49</xdr:row>
      <xdr:rowOff>152399</xdr:rowOff>
    </xdr:from>
    <xdr:to>
      <xdr:col>12</xdr:col>
      <xdr:colOff>257175</xdr:colOff>
      <xdr:row>55</xdr:row>
      <xdr:rowOff>128586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07EAF5-8A79-49F9-80F9-223D7DE63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56</xdr:row>
      <xdr:rowOff>171450</xdr:rowOff>
    </xdr:from>
    <xdr:to>
      <xdr:col>11</xdr:col>
      <xdr:colOff>409575</xdr:colOff>
      <xdr:row>62</xdr:row>
      <xdr:rowOff>52386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C1D34-3D79-4B81-991E-AF017ADB5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504825</xdr:colOff>
      <xdr:row>65</xdr:row>
      <xdr:rowOff>28575</xdr:rowOff>
    </xdr:from>
    <xdr:to>
      <xdr:col>12</xdr:col>
      <xdr:colOff>409575</xdr:colOff>
      <xdr:row>71</xdr:row>
      <xdr:rowOff>52386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FE3EDC-EFCF-4D9F-BF78-3FE6A43ED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466725</xdr:colOff>
      <xdr:row>81</xdr:row>
      <xdr:rowOff>180974</xdr:rowOff>
    </xdr:from>
    <xdr:to>
      <xdr:col>11</xdr:col>
      <xdr:colOff>542925</xdr:colOff>
      <xdr:row>89</xdr:row>
      <xdr:rowOff>176211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8FEBE8-C489-4AB8-ADA9-D256905A5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428625</xdr:colOff>
      <xdr:row>73</xdr:row>
      <xdr:rowOff>190499</xdr:rowOff>
    </xdr:from>
    <xdr:to>
      <xdr:col>12</xdr:col>
      <xdr:colOff>333375</xdr:colOff>
      <xdr:row>79</xdr:row>
      <xdr:rowOff>52386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39625C-3AAD-4DA8-A1FC-AD9408FCF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7"/>
  <sheetViews>
    <sheetView tabSelected="1" topLeftCell="A76" workbookViewId="0">
      <selection activeCell="I100" sqref="I100"/>
    </sheetView>
  </sheetViews>
  <sheetFormatPr defaultRowHeight="15" x14ac:dyDescent="0.25"/>
  <cols>
    <col min="2" max="2" width="13.140625" customWidth="1"/>
    <col min="5" max="5" width="28.5703125" bestFit="1" customWidth="1"/>
    <col min="6" max="6" width="16.7109375" bestFit="1" customWidth="1"/>
    <col min="7" max="7" width="16.7109375" customWidth="1"/>
    <col min="8" max="8" width="13.140625" bestFit="1" customWidth="1"/>
  </cols>
  <sheetData>
    <row r="2" spans="2:8" x14ac:dyDescent="0.25">
      <c r="B2" s="2" t="s">
        <v>2</v>
      </c>
    </row>
    <row r="3" spans="2:8" x14ac:dyDescent="0.25">
      <c r="B3" s="2" t="s">
        <v>34</v>
      </c>
    </row>
    <row r="5" spans="2:8" x14ac:dyDescent="0.25">
      <c r="C5" t="s">
        <v>4</v>
      </c>
      <c r="D5" t="s">
        <v>0</v>
      </c>
      <c r="E5" t="s">
        <v>1</v>
      </c>
      <c r="F5" t="s">
        <v>11</v>
      </c>
      <c r="G5" t="s">
        <v>12</v>
      </c>
      <c r="H5" t="s">
        <v>21</v>
      </c>
    </row>
    <row r="6" spans="2:8" x14ac:dyDescent="0.25">
      <c r="B6" t="s">
        <v>3</v>
      </c>
      <c r="C6" s="1">
        <v>0.31405899999999998</v>
      </c>
      <c r="D6" s="1">
        <v>9.6870910000000006</v>
      </c>
      <c r="E6" s="1">
        <v>32.42</v>
      </c>
      <c r="F6" s="1">
        <v>0</v>
      </c>
      <c r="G6" s="1">
        <f>F6/60</f>
        <v>0</v>
      </c>
      <c r="H6">
        <f>E6/32.42*100</f>
        <v>100</v>
      </c>
    </row>
    <row r="7" spans="2:8" x14ac:dyDescent="0.25">
      <c r="B7" t="s">
        <v>5</v>
      </c>
      <c r="C7" s="1">
        <v>0.46811799999999998</v>
      </c>
      <c r="D7" s="1">
        <v>14.338467</v>
      </c>
      <c r="E7" s="1">
        <v>32.648000000000003</v>
      </c>
      <c r="F7" s="1">
        <v>46</v>
      </c>
      <c r="G7" s="1">
        <f t="shared" ref="G7:G12" si="0">F7/60</f>
        <v>0.76666666666666672</v>
      </c>
      <c r="H7">
        <f t="shared" ref="H7:H12" si="1">E7/32.42*100</f>
        <v>100.70326958667491</v>
      </c>
    </row>
    <row r="8" spans="2:8" x14ac:dyDescent="0.25">
      <c r="B8" t="s">
        <v>6</v>
      </c>
      <c r="C8" s="1">
        <v>0.46415200000000001</v>
      </c>
      <c r="D8" s="1">
        <v>14.312427</v>
      </c>
      <c r="E8" s="1">
        <v>32.43</v>
      </c>
      <c r="F8" s="1">
        <v>67</v>
      </c>
      <c r="G8" s="1">
        <f t="shared" si="0"/>
        <v>1.1166666666666667</v>
      </c>
      <c r="H8">
        <f t="shared" si="1"/>
        <v>100.0308451573103</v>
      </c>
    </row>
    <row r="9" spans="2:8" x14ac:dyDescent="0.25">
      <c r="B9" t="s">
        <v>7</v>
      </c>
      <c r="C9" s="1">
        <v>0.31085600000000002</v>
      </c>
      <c r="D9" s="1">
        <v>15.330857</v>
      </c>
      <c r="E9" s="1">
        <v>20.277000000000001</v>
      </c>
      <c r="F9" s="1">
        <v>1215</v>
      </c>
      <c r="G9" s="1">
        <f t="shared" si="0"/>
        <v>20.25</v>
      </c>
      <c r="H9">
        <f t="shared" si="1"/>
        <v>62.544725478099942</v>
      </c>
    </row>
    <row r="10" spans="2:8" x14ac:dyDescent="0.25">
      <c r="B10" t="s">
        <v>8</v>
      </c>
      <c r="C10" s="1">
        <v>0.224246</v>
      </c>
      <c r="D10" s="1">
        <v>10.681912000000001</v>
      </c>
      <c r="E10" s="1">
        <v>20.992999999999999</v>
      </c>
      <c r="F10" s="1">
        <v>1505</v>
      </c>
      <c r="G10" s="1">
        <f t="shared" si="0"/>
        <v>25.083333333333332</v>
      </c>
      <c r="H10">
        <f t="shared" si="1"/>
        <v>64.753238741517578</v>
      </c>
    </row>
    <row r="11" spans="2:8" x14ac:dyDescent="0.25">
      <c r="B11" t="s">
        <v>9</v>
      </c>
      <c r="C11" s="1">
        <v>0.22747100000000001</v>
      </c>
      <c r="D11" s="1">
        <v>10.666278999999999</v>
      </c>
      <c r="E11" s="1">
        <v>21.326000000000001</v>
      </c>
      <c r="F11" s="1">
        <v>1510</v>
      </c>
      <c r="G11" s="1">
        <f t="shared" si="0"/>
        <v>25.166666666666668</v>
      </c>
      <c r="H11">
        <f t="shared" si="1"/>
        <v>65.780382479950646</v>
      </c>
    </row>
    <row r="12" spans="2:8" x14ac:dyDescent="0.25">
      <c r="B12" t="s">
        <v>10</v>
      </c>
      <c r="C12" s="1">
        <v>0.25017299999999998</v>
      </c>
      <c r="D12" s="1">
        <v>12.688173000000001</v>
      </c>
      <c r="E12" s="1">
        <v>19.716999999999999</v>
      </c>
      <c r="F12" s="1">
        <v>2636</v>
      </c>
      <c r="G12" s="1">
        <f t="shared" si="0"/>
        <v>43.93333333333333</v>
      </c>
      <c r="H12">
        <f t="shared" si="1"/>
        <v>60.817396668722999</v>
      </c>
    </row>
    <row r="13" spans="2:8" x14ac:dyDescent="0.25">
      <c r="C13" s="1"/>
      <c r="D13" s="1"/>
      <c r="E13" s="1"/>
    </row>
    <row r="14" spans="2:8" x14ac:dyDescent="0.25">
      <c r="B14" t="s">
        <v>13</v>
      </c>
      <c r="C14" s="1">
        <v>0.26078699999999999</v>
      </c>
      <c r="D14" s="1">
        <v>7.2039559999999998</v>
      </c>
      <c r="E14" s="1">
        <v>36.200000000000003</v>
      </c>
      <c r="F14">
        <v>0</v>
      </c>
      <c r="G14" s="1">
        <f>F14/60</f>
        <v>0</v>
      </c>
      <c r="H14">
        <f>E14/36.2*100</f>
        <v>100</v>
      </c>
    </row>
    <row r="15" spans="2:8" x14ac:dyDescent="0.25">
      <c r="B15" t="s">
        <v>14</v>
      </c>
      <c r="C15" s="1">
        <v>0.435479</v>
      </c>
      <c r="D15" s="1">
        <v>13.599912</v>
      </c>
      <c r="E15" s="1">
        <v>32.021000000000001</v>
      </c>
      <c r="F15">
        <v>26</v>
      </c>
      <c r="G15" s="1">
        <f t="shared" ref="G15:G20" si="2">F15/60</f>
        <v>0.43333333333333335</v>
      </c>
      <c r="H15">
        <f t="shared" ref="H15:H20" si="3">E15/36.2*100</f>
        <v>88.45580110497238</v>
      </c>
    </row>
    <row r="16" spans="2:8" x14ac:dyDescent="0.25">
      <c r="B16" t="s">
        <v>15</v>
      </c>
      <c r="C16" s="1">
        <v>0.16703799999999999</v>
      </c>
      <c r="D16" s="1">
        <v>5.4642169999999997</v>
      </c>
      <c r="E16" s="1">
        <v>30.568999999999999</v>
      </c>
      <c r="F16">
        <v>70</v>
      </c>
      <c r="G16" s="1">
        <f t="shared" si="2"/>
        <v>1.1666666666666667</v>
      </c>
      <c r="H16">
        <f t="shared" si="3"/>
        <v>84.444751381215454</v>
      </c>
    </row>
    <row r="17" spans="2:8" x14ac:dyDescent="0.25">
      <c r="B17" t="s">
        <v>16</v>
      </c>
      <c r="C17" s="1">
        <v>0.228461</v>
      </c>
      <c r="D17" s="1">
        <v>7.8988399999999999</v>
      </c>
      <c r="E17" s="1">
        <v>28.922999999999998</v>
      </c>
      <c r="F17">
        <v>233</v>
      </c>
      <c r="G17" s="1">
        <f t="shared" si="2"/>
        <v>3.8833333333333333</v>
      </c>
      <c r="H17">
        <f t="shared" si="3"/>
        <v>79.897790055248606</v>
      </c>
    </row>
    <row r="18" spans="2:8" x14ac:dyDescent="0.25">
      <c r="B18" t="s">
        <v>17</v>
      </c>
      <c r="C18" s="1">
        <v>6.5030000000000004E-2</v>
      </c>
      <c r="D18" s="1">
        <v>2.317269</v>
      </c>
      <c r="E18" s="1">
        <v>28.065000000000001</v>
      </c>
      <c r="F18" s="1">
        <v>586</v>
      </c>
      <c r="G18" s="1">
        <f t="shared" si="2"/>
        <v>9.7666666666666675</v>
      </c>
      <c r="H18">
        <f t="shared" si="3"/>
        <v>77.527624309392266</v>
      </c>
    </row>
    <row r="19" spans="2:8" x14ac:dyDescent="0.25">
      <c r="B19" t="s">
        <v>18</v>
      </c>
      <c r="C19" s="1">
        <v>0.33085700000000001</v>
      </c>
      <c r="D19" s="1">
        <v>11.182862</v>
      </c>
      <c r="E19" s="1">
        <v>29.585999999999999</v>
      </c>
      <c r="F19" s="1">
        <v>1383</v>
      </c>
      <c r="G19" s="1">
        <f t="shared" si="2"/>
        <v>23.05</v>
      </c>
      <c r="H19">
        <f t="shared" si="3"/>
        <v>81.729281767955783</v>
      </c>
    </row>
    <row r="20" spans="2:8" x14ac:dyDescent="0.25">
      <c r="B20" t="s">
        <v>19</v>
      </c>
      <c r="C20" s="1">
        <v>0.167737</v>
      </c>
      <c r="D20" s="1">
        <v>11.606506</v>
      </c>
      <c r="E20" s="1">
        <v>14.452</v>
      </c>
      <c r="F20" s="1">
        <v>2766</v>
      </c>
      <c r="G20" s="1">
        <f t="shared" si="2"/>
        <v>46.1</v>
      </c>
      <c r="H20">
        <f t="shared" si="3"/>
        <v>39.922651933701651</v>
      </c>
    </row>
    <row r="21" spans="2:8" x14ac:dyDescent="0.25">
      <c r="C21" s="1"/>
      <c r="D21" s="1"/>
      <c r="E21" s="1"/>
    </row>
    <row r="22" spans="2:8" x14ac:dyDescent="0.25">
      <c r="B22" s="2" t="s">
        <v>20</v>
      </c>
      <c r="C22" s="1"/>
      <c r="D22" s="1"/>
      <c r="E22" s="1"/>
    </row>
    <row r="23" spans="2:8" x14ac:dyDescent="0.25">
      <c r="B23" t="s">
        <v>13</v>
      </c>
      <c r="C23" s="1">
        <v>0.17233399999999999</v>
      </c>
      <c r="D23" s="1">
        <v>7.2039559999999998</v>
      </c>
      <c r="E23" s="1">
        <v>23.922000000000001</v>
      </c>
      <c r="F23">
        <v>0</v>
      </c>
      <c r="G23" s="1">
        <f>F23/60</f>
        <v>0</v>
      </c>
      <c r="H23">
        <f>E23/23.922*100</f>
        <v>100</v>
      </c>
    </row>
    <row r="24" spans="2:8" x14ac:dyDescent="0.25">
      <c r="B24" t="s">
        <v>14</v>
      </c>
      <c r="C24" s="1">
        <v>0.27810800000000002</v>
      </c>
      <c r="D24" s="1">
        <v>13.599912</v>
      </c>
      <c r="E24" s="1">
        <v>20.449000000000002</v>
      </c>
      <c r="F24">
        <v>26</v>
      </c>
      <c r="G24" s="1">
        <f t="shared" ref="G24:G29" si="4">F24/60</f>
        <v>0.43333333333333335</v>
      </c>
      <c r="H24">
        <f t="shared" ref="H24:H29" si="5">E24/23.922*100</f>
        <v>85.481983111779954</v>
      </c>
    </row>
    <row r="25" spans="2:8" x14ac:dyDescent="0.25">
      <c r="B25" t="s">
        <v>15</v>
      </c>
      <c r="C25" s="1">
        <v>0.108878</v>
      </c>
      <c r="D25" s="1">
        <v>5.4642169999999997</v>
      </c>
      <c r="E25" s="1">
        <v>19.925999999999998</v>
      </c>
      <c r="F25">
        <v>70</v>
      </c>
      <c r="G25" s="1">
        <f t="shared" si="4"/>
        <v>1.1666666666666667</v>
      </c>
      <c r="H25">
        <f t="shared" si="5"/>
        <v>83.295711060948079</v>
      </c>
    </row>
    <row r="26" spans="2:8" x14ac:dyDescent="0.25">
      <c r="B26" t="s">
        <v>16</v>
      </c>
      <c r="C26" s="1">
        <v>0.146676</v>
      </c>
      <c r="D26" s="1">
        <v>7.8988399999999999</v>
      </c>
      <c r="E26" s="1">
        <v>18.568999999999999</v>
      </c>
      <c r="F26">
        <v>233</v>
      </c>
      <c r="G26" s="1">
        <f t="shared" si="4"/>
        <v>3.8833333333333333</v>
      </c>
      <c r="H26">
        <f t="shared" si="5"/>
        <v>77.623108435749515</v>
      </c>
    </row>
    <row r="27" spans="2:8" x14ac:dyDescent="0.25">
      <c r="B27" t="s">
        <v>17</v>
      </c>
      <c r="C27" s="1">
        <v>4.3818000000000003E-2</v>
      </c>
      <c r="D27" s="1">
        <v>2.317269</v>
      </c>
      <c r="E27" s="1">
        <v>18.908999999999999</v>
      </c>
      <c r="F27" s="1">
        <v>586</v>
      </c>
      <c r="G27" s="1">
        <f t="shared" si="4"/>
        <v>9.7666666666666675</v>
      </c>
      <c r="H27">
        <f t="shared" si="5"/>
        <v>79.044394281414583</v>
      </c>
    </row>
    <row r="28" spans="2:8" x14ac:dyDescent="0.25">
      <c r="B28" t="s">
        <v>18</v>
      </c>
      <c r="C28" s="1">
        <v>0.21331</v>
      </c>
      <c r="D28" s="1">
        <v>11.182862</v>
      </c>
      <c r="E28" s="1">
        <v>19.074999999999999</v>
      </c>
      <c r="F28" s="1">
        <v>1383</v>
      </c>
      <c r="G28" s="1">
        <f t="shared" si="4"/>
        <v>23.05</v>
      </c>
      <c r="H28">
        <f t="shared" si="5"/>
        <v>79.738316194298136</v>
      </c>
    </row>
    <row r="29" spans="2:8" x14ac:dyDescent="0.25">
      <c r="B29" t="s">
        <v>19</v>
      </c>
      <c r="C29" s="1">
        <v>8.0352000000000007E-2</v>
      </c>
      <c r="D29" s="1">
        <v>11.606506</v>
      </c>
      <c r="E29" s="1">
        <v>6.923</v>
      </c>
      <c r="F29" s="1">
        <v>2766</v>
      </c>
      <c r="G29" s="1">
        <f t="shared" si="4"/>
        <v>46.1</v>
      </c>
      <c r="H29">
        <f t="shared" si="5"/>
        <v>28.93988796923334</v>
      </c>
    </row>
    <row r="31" spans="2:8" x14ac:dyDescent="0.25">
      <c r="B31" s="2" t="s">
        <v>22</v>
      </c>
    </row>
    <row r="33" spans="2:8" x14ac:dyDescent="0.25">
      <c r="B33" s="2" t="s">
        <v>23</v>
      </c>
    </row>
    <row r="34" spans="2:8" x14ac:dyDescent="0.25">
      <c r="B34" s="2" t="s">
        <v>30</v>
      </c>
    </row>
    <row r="35" spans="2:8" x14ac:dyDescent="0.25">
      <c r="B35" t="s">
        <v>24</v>
      </c>
      <c r="C35" s="1">
        <v>0.248248</v>
      </c>
      <c r="D35" s="1">
        <v>12.333086</v>
      </c>
      <c r="E35" s="1">
        <v>20.129000000000001</v>
      </c>
      <c r="F35">
        <v>0</v>
      </c>
      <c r="G35" s="1">
        <f>F35/60</f>
        <v>0</v>
      </c>
      <c r="H35">
        <f>E35/20.129*100</f>
        <v>100</v>
      </c>
    </row>
    <row r="36" spans="2:8" x14ac:dyDescent="0.25">
      <c r="B36" t="s">
        <v>25</v>
      </c>
      <c r="C36" s="1">
        <v>0.27376099999999998</v>
      </c>
      <c r="D36" s="1">
        <v>13.883915999999999</v>
      </c>
      <c r="E36" s="1">
        <v>19.718</v>
      </c>
      <c r="F36">
        <v>389</v>
      </c>
      <c r="G36" s="1">
        <f t="shared" ref="G36:G40" si="6">F36/60</f>
        <v>6.4833333333333334</v>
      </c>
      <c r="H36">
        <f t="shared" ref="H36:H40" si="7">E36/23.922*100</f>
        <v>82.426218543600029</v>
      </c>
    </row>
    <row r="37" spans="2:8" x14ac:dyDescent="0.25">
      <c r="B37" t="s">
        <v>26</v>
      </c>
      <c r="C37" s="1">
        <v>0.109487</v>
      </c>
      <c r="D37" s="1">
        <v>6.047536</v>
      </c>
      <c r="E37" s="1">
        <v>18.103999999999999</v>
      </c>
      <c r="F37">
        <v>1449</v>
      </c>
      <c r="G37" s="1">
        <f t="shared" si="6"/>
        <v>24.15</v>
      </c>
      <c r="H37">
        <f t="shared" si="7"/>
        <v>75.67929102917816</v>
      </c>
    </row>
    <row r="38" spans="2:8" x14ac:dyDescent="0.25">
      <c r="B38" t="s">
        <v>27</v>
      </c>
      <c r="C38" s="1">
        <v>0.23344699999999999</v>
      </c>
      <c r="D38" s="1">
        <v>12.151260000000001</v>
      </c>
      <c r="E38" s="1">
        <v>19.212</v>
      </c>
      <c r="F38" s="1">
        <v>1876</v>
      </c>
      <c r="G38" s="1">
        <f t="shared" si="6"/>
        <v>31.266666666666666</v>
      </c>
      <c r="H38">
        <f t="shared" si="7"/>
        <v>80.311010785051423</v>
      </c>
    </row>
    <row r="39" spans="2:8" x14ac:dyDescent="0.25">
      <c r="B39" t="s">
        <v>28</v>
      </c>
      <c r="C39" s="1">
        <v>7.2485999999999995E-2</v>
      </c>
      <c r="D39" s="1">
        <v>5.491822</v>
      </c>
      <c r="E39" s="1">
        <v>13.199</v>
      </c>
      <c r="F39" s="1">
        <v>2865</v>
      </c>
      <c r="G39" s="1">
        <f t="shared" si="6"/>
        <v>47.75</v>
      </c>
      <c r="H39">
        <f t="shared" si="7"/>
        <v>55.175152579215784</v>
      </c>
    </row>
    <row r="40" spans="2:8" x14ac:dyDescent="0.25">
      <c r="B40" t="s">
        <v>29</v>
      </c>
      <c r="C40" s="1">
        <v>0.149894</v>
      </c>
      <c r="D40" s="1">
        <v>12.168275</v>
      </c>
      <c r="E40" s="1">
        <v>12.318</v>
      </c>
      <c r="F40" s="1">
        <v>3264</v>
      </c>
      <c r="G40" s="1">
        <f t="shared" si="6"/>
        <v>54.4</v>
      </c>
      <c r="H40">
        <f t="shared" si="7"/>
        <v>51.492350137948328</v>
      </c>
    </row>
    <row r="42" spans="2:8" x14ac:dyDescent="0.25">
      <c r="B42" s="2" t="s">
        <v>35</v>
      </c>
    </row>
    <row r="43" spans="2:8" x14ac:dyDescent="0.25">
      <c r="B43" s="2" t="s">
        <v>36</v>
      </c>
    </row>
    <row r="44" spans="2:8" x14ac:dyDescent="0.25">
      <c r="B44" s="2" t="s">
        <v>37</v>
      </c>
    </row>
    <row r="45" spans="2:8" x14ac:dyDescent="0.25">
      <c r="B45" t="s">
        <v>31</v>
      </c>
      <c r="C45" s="1">
        <v>0.26064700000000002</v>
      </c>
      <c r="D45" s="1">
        <v>12.610099</v>
      </c>
      <c r="E45" s="1">
        <v>20.67</v>
      </c>
      <c r="F45">
        <v>0</v>
      </c>
      <c r="G45" s="1">
        <f>F45/60</f>
        <v>0</v>
      </c>
      <c r="H45">
        <f>E45/20.67*100</f>
        <v>100</v>
      </c>
    </row>
    <row r="46" spans="2:8" x14ac:dyDescent="0.25">
      <c r="B46" t="s">
        <v>32</v>
      </c>
      <c r="C46" s="1">
        <v>0.248389</v>
      </c>
      <c r="D46" s="1">
        <v>12.467060999999999</v>
      </c>
      <c r="E46" s="1">
        <v>19.923999999999999</v>
      </c>
      <c r="F46">
        <v>999</v>
      </c>
      <c r="G46" s="1">
        <f t="shared" ref="G46:G47" si="8">F46/60</f>
        <v>16.649999999999999</v>
      </c>
      <c r="H46">
        <f t="shared" ref="H46:H47" si="9">E46/23.922*100</f>
        <v>83.287350555973575</v>
      </c>
    </row>
    <row r="47" spans="2:8" x14ac:dyDescent="0.25">
      <c r="B47" t="s">
        <v>33</v>
      </c>
      <c r="C47" s="1">
        <v>4.7600000000000003E-2</v>
      </c>
      <c r="D47" s="1">
        <v>5.2842260000000003</v>
      </c>
      <c r="E47" s="1">
        <v>9.0079999999999991</v>
      </c>
      <c r="F47">
        <v>1489</v>
      </c>
      <c r="G47" s="1">
        <f t="shared" si="8"/>
        <v>24.816666666666666</v>
      </c>
      <c r="H47">
        <f t="shared" si="9"/>
        <v>37.655714405150064</v>
      </c>
    </row>
    <row r="49" spans="2:8" x14ac:dyDescent="0.25">
      <c r="B49" s="2" t="s">
        <v>38</v>
      </c>
    </row>
    <row r="50" spans="2:8" x14ac:dyDescent="0.25">
      <c r="B50" s="2" t="s">
        <v>39</v>
      </c>
    </row>
    <row r="51" spans="2:8" x14ac:dyDescent="0.25">
      <c r="B51" t="s">
        <v>40</v>
      </c>
      <c r="C51" s="1">
        <v>0.14213700000000001</v>
      </c>
      <c r="D51" s="1">
        <v>5.9158220000000004</v>
      </c>
      <c r="E51" s="1">
        <v>24.027000000000001</v>
      </c>
      <c r="F51">
        <v>0</v>
      </c>
      <c r="G51" s="1">
        <f>F51/60</f>
        <v>0</v>
      </c>
      <c r="H51">
        <f>E51/24.027*100</f>
        <v>100</v>
      </c>
    </row>
    <row r="52" spans="2:8" x14ac:dyDescent="0.25">
      <c r="B52" t="s">
        <v>41</v>
      </c>
      <c r="C52" s="1">
        <v>0.17749599999999999</v>
      </c>
      <c r="D52" s="1">
        <v>9.4089030000000005</v>
      </c>
      <c r="E52" s="1">
        <v>18.864999999999998</v>
      </c>
      <c r="F52">
        <v>1008</v>
      </c>
      <c r="G52" s="1">
        <f>F52/60</f>
        <v>16.8</v>
      </c>
      <c r="H52">
        <f t="shared" ref="H52:H55" si="10">E52/23.922*100</f>
        <v>78.860463171975582</v>
      </c>
    </row>
    <row r="53" spans="2:8" x14ac:dyDescent="0.25">
      <c r="B53" t="s">
        <v>42</v>
      </c>
      <c r="C53" s="1">
        <v>0.29285800000000001</v>
      </c>
      <c r="D53" s="1">
        <v>14.726494000000001</v>
      </c>
      <c r="E53" s="1">
        <v>19.885999999999999</v>
      </c>
      <c r="F53">
        <v>1186</v>
      </c>
      <c r="G53" s="1">
        <f t="shared" ref="G53:G55" si="11">F53/60</f>
        <v>19.766666666666666</v>
      </c>
      <c r="H53">
        <f t="shared" si="10"/>
        <v>83.128500961458059</v>
      </c>
    </row>
    <row r="54" spans="2:8" x14ac:dyDescent="0.25">
      <c r="B54" t="s">
        <v>43</v>
      </c>
      <c r="C54" s="1">
        <v>0.26368999999999998</v>
      </c>
      <c r="D54" s="1">
        <v>13.362143</v>
      </c>
      <c r="E54" s="1">
        <v>19.734000000000002</v>
      </c>
      <c r="F54" s="1">
        <v>1291</v>
      </c>
      <c r="G54" s="1">
        <f t="shared" si="11"/>
        <v>21.516666666666666</v>
      </c>
      <c r="H54">
        <f t="shared" si="10"/>
        <v>82.493102583396038</v>
      </c>
    </row>
    <row r="55" spans="2:8" x14ac:dyDescent="0.25">
      <c r="B55" t="s">
        <v>44</v>
      </c>
      <c r="C55" s="1">
        <v>8.4760000000000002E-2</v>
      </c>
      <c r="D55" s="1">
        <v>4.8142639999999997</v>
      </c>
      <c r="E55" s="1">
        <v>17.606000000000002</v>
      </c>
      <c r="F55" s="1">
        <v>1448</v>
      </c>
      <c r="G55" s="1">
        <f t="shared" si="11"/>
        <v>24.133333333333333</v>
      </c>
      <c r="H55">
        <f t="shared" si="10"/>
        <v>73.597525290527557</v>
      </c>
    </row>
    <row r="57" spans="2:8" x14ac:dyDescent="0.25">
      <c r="B57" s="2" t="s">
        <v>45</v>
      </c>
    </row>
    <row r="58" spans="2:8" x14ac:dyDescent="0.25">
      <c r="B58" s="2" t="s">
        <v>49</v>
      </c>
    </row>
    <row r="59" spans="2:8" x14ac:dyDescent="0.25">
      <c r="B59" t="s">
        <v>46</v>
      </c>
      <c r="C59">
        <v>0.249968</v>
      </c>
      <c r="D59">
        <v>12.245117</v>
      </c>
      <c r="E59">
        <v>20.414000000000001</v>
      </c>
      <c r="F59">
        <v>0</v>
      </c>
      <c r="G59" s="1">
        <f>F59/60</f>
        <v>0</v>
      </c>
      <c r="H59">
        <f>E59/20.414*100</f>
        <v>100</v>
      </c>
    </row>
    <row r="60" spans="2:8" x14ac:dyDescent="0.25">
      <c r="B60" t="s">
        <v>47</v>
      </c>
      <c r="C60">
        <v>0.29635800000000001</v>
      </c>
      <c r="D60">
        <v>15.231763000000001</v>
      </c>
      <c r="E60">
        <v>19.457000000000001</v>
      </c>
      <c r="F60">
        <v>1338</v>
      </c>
      <c r="G60" s="1">
        <f>F60/60</f>
        <v>22.3</v>
      </c>
      <c r="H60">
        <f>E60/20.414*100</f>
        <v>95.312040756343691</v>
      </c>
    </row>
    <row r="61" spans="2:8" x14ac:dyDescent="0.25">
      <c r="B61" t="s">
        <v>48</v>
      </c>
      <c r="C61">
        <v>0.16938600000000001</v>
      </c>
      <c r="D61">
        <v>9.7455269999999992</v>
      </c>
      <c r="E61">
        <v>17.381</v>
      </c>
      <c r="F61">
        <v>1525</v>
      </c>
      <c r="G61" s="1">
        <f t="shared" ref="G61:G62" si="12">F61/60</f>
        <v>25.416666666666668</v>
      </c>
      <c r="H61">
        <f t="shared" ref="H61:H62" si="13">E61/20.414*100</f>
        <v>85.142549230919954</v>
      </c>
    </row>
    <row r="62" spans="2:8" x14ac:dyDescent="0.25">
      <c r="B62" t="s">
        <v>50</v>
      </c>
      <c r="C62">
        <v>5.1114E-2</v>
      </c>
      <c r="D62">
        <v>7.8633839999999999</v>
      </c>
      <c r="E62">
        <v>6.5</v>
      </c>
      <c r="F62">
        <v>5387</v>
      </c>
      <c r="G62" s="1">
        <f t="shared" si="12"/>
        <v>89.783333333333331</v>
      </c>
      <c r="H62">
        <f t="shared" si="13"/>
        <v>31.840893504457725</v>
      </c>
    </row>
    <row r="64" spans="2:8" x14ac:dyDescent="0.25">
      <c r="B64" s="2" t="s">
        <v>52</v>
      </c>
    </row>
    <row r="65" spans="2:8" x14ac:dyDescent="0.25">
      <c r="B65" s="2" t="s">
        <v>55</v>
      </c>
    </row>
    <row r="66" spans="2:8" x14ac:dyDescent="0.25">
      <c r="B66" s="2" t="s">
        <v>51</v>
      </c>
    </row>
    <row r="67" spans="2:8" x14ac:dyDescent="0.25">
      <c r="B67" t="s">
        <v>53</v>
      </c>
      <c r="C67">
        <v>0.309168</v>
      </c>
      <c r="D67">
        <v>15.29926</v>
      </c>
      <c r="E67">
        <v>20.207999999999998</v>
      </c>
      <c r="F67">
        <v>0</v>
      </c>
      <c r="G67" s="1">
        <f>F67/60</f>
        <v>0</v>
      </c>
      <c r="H67">
        <f>E67/20.208*100</f>
        <v>100</v>
      </c>
    </row>
    <row r="68" spans="2:8" x14ac:dyDescent="0.25">
      <c r="B68" t="s">
        <v>54</v>
      </c>
      <c r="C68">
        <v>0.28480699999999998</v>
      </c>
      <c r="D68">
        <v>14.619444</v>
      </c>
      <c r="E68">
        <v>19.481000000000002</v>
      </c>
      <c r="F68">
        <v>1240</v>
      </c>
      <c r="G68" s="1">
        <f>F68/60</f>
        <v>20.666666666666668</v>
      </c>
      <c r="H68">
        <f>E68/20.414*100</f>
        <v>95.429607132360147</v>
      </c>
    </row>
    <row r="69" spans="2:8" x14ac:dyDescent="0.25">
      <c r="B69" t="s">
        <v>56</v>
      </c>
      <c r="C69">
        <v>0.24021500000000001</v>
      </c>
      <c r="D69">
        <v>13.384722999999999</v>
      </c>
      <c r="E69">
        <v>17.946999999999999</v>
      </c>
      <c r="F69">
        <v>1440</v>
      </c>
      <c r="G69" s="1">
        <f t="shared" ref="G69:G71" si="14">F69/60</f>
        <v>24</v>
      </c>
      <c r="H69">
        <f t="shared" ref="H69:H71" si="15">E69/20.414*100</f>
        <v>87.915156265308113</v>
      </c>
    </row>
    <row r="70" spans="2:8" x14ac:dyDescent="0.25">
      <c r="B70" t="s">
        <v>57</v>
      </c>
      <c r="C70">
        <v>0.181839</v>
      </c>
      <c r="D70">
        <v>12.316469</v>
      </c>
      <c r="E70">
        <v>14.763999999999999</v>
      </c>
      <c r="F70">
        <v>1570</v>
      </c>
      <c r="G70" s="1">
        <f t="shared" si="14"/>
        <v>26.166666666666668</v>
      </c>
      <c r="H70">
        <f t="shared" si="15"/>
        <v>72.322915646125196</v>
      </c>
    </row>
    <row r="71" spans="2:8" x14ac:dyDescent="0.25">
      <c r="B71" t="s">
        <v>58</v>
      </c>
      <c r="C71">
        <v>5.7312000000000002E-2</v>
      </c>
      <c r="D71">
        <v>6.0052250000000003</v>
      </c>
      <c r="E71">
        <v>9.5440000000000005</v>
      </c>
      <c r="F71">
        <v>1691</v>
      </c>
      <c r="G71" s="1">
        <f t="shared" si="14"/>
        <v>28.183333333333334</v>
      </c>
      <c r="H71">
        <f t="shared" si="15"/>
        <v>46.752228862545309</v>
      </c>
    </row>
    <row r="73" spans="2:8" x14ac:dyDescent="0.25">
      <c r="B73" s="2" t="s">
        <v>59</v>
      </c>
    </row>
    <row r="74" spans="2:8" x14ac:dyDescent="0.25">
      <c r="B74" s="2" t="s">
        <v>60</v>
      </c>
    </row>
    <row r="75" spans="2:8" x14ac:dyDescent="0.25">
      <c r="B75" s="2" t="s">
        <v>51</v>
      </c>
    </row>
    <row r="76" spans="2:8" x14ac:dyDescent="0.25">
      <c r="B76" s="2" t="s">
        <v>65</v>
      </c>
    </row>
    <row r="77" spans="2:8" x14ac:dyDescent="0.25">
      <c r="B77" t="s">
        <v>61</v>
      </c>
      <c r="C77">
        <v>0.18545</v>
      </c>
      <c r="D77">
        <v>8.2040240000000004</v>
      </c>
      <c r="E77">
        <v>22.605</v>
      </c>
      <c r="F77">
        <v>0</v>
      </c>
      <c r="G77" s="1">
        <f>F77/60</f>
        <v>0</v>
      </c>
      <c r="H77">
        <f>E77/22.605*100</f>
        <v>100</v>
      </c>
    </row>
    <row r="78" spans="2:8" x14ac:dyDescent="0.25">
      <c r="B78" t="s">
        <v>62</v>
      </c>
      <c r="C78">
        <v>0.298678</v>
      </c>
      <c r="D78">
        <v>15.054848</v>
      </c>
      <c r="E78">
        <v>19.838999999999999</v>
      </c>
      <c r="F78">
        <v>1288</v>
      </c>
      <c r="G78" s="1">
        <f t="shared" ref="G78:G79" si="16">F78/60</f>
        <v>21.466666666666665</v>
      </c>
      <c r="H78">
        <f t="shared" ref="H78:H79" si="17">E78/22.605*100</f>
        <v>87.76376907763769</v>
      </c>
    </row>
    <row r="79" spans="2:8" x14ac:dyDescent="0.25">
      <c r="B79" t="s">
        <v>63</v>
      </c>
      <c r="C79">
        <v>0.29822399999999999</v>
      </c>
      <c r="D79">
        <v>15.12495</v>
      </c>
      <c r="E79">
        <v>19.716999999999999</v>
      </c>
      <c r="F79">
        <v>1436</v>
      </c>
      <c r="G79" s="1">
        <f t="shared" si="16"/>
        <v>23.933333333333334</v>
      </c>
      <c r="H79">
        <f t="shared" si="17"/>
        <v>87.224065472240653</v>
      </c>
    </row>
    <row r="80" spans="2:8" x14ac:dyDescent="0.25">
      <c r="B80" t="s">
        <v>64</v>
      </c>
      <c r="C80">
        <v>0.30754500000000001</v>
      </c>
      <c r="D80">
        <v>15.439640000000001</v>
      </c>
      <c r="E80">
        <v>19.919</v>
      </c>
      <c r="F80">
        <v>1526</v>
      </c>
      <c r="G80" s="1">
        <f t="shared" ref="G80" si="18">F80/60</f>
        <v>25.433333333333334</v>
      </c>
      <c r="H80">
        <f t="shared" ref="H80" si="19">E80/22.605*100</f>
        <v>88.117673081176733</v>
      </c>
    </row>
    <row r="82" spans="2:8" x14ac:dyDescent="0.25">
      <c r="B82" s="2" t="s">
        <v>66</v>
      </c>
    </row>
    <row r="83" spans="2:8" x14ac:dyDescent="0.25">
      <c r="B83" s="2" t="s">
        <v>70</v>
      </c>
    </row>
    <row r="84" spans="2:8" x14ac:dyDescent="0.25">
      <c r="B84" s="2" t="s">
        <v>67</v>
      </c>
    </row>
    <row r="85" spans="2:8" x14ac:dyDescent="0.25">
      <c r="B85" s="2" t="s">
        <v>74</v>
      </c>
    </row>
    <row r="86" spans="2:8" x14ac:dyDescent="0.25">
      <c r="B86" s="2" t="s">
        <v>75</v>
      </c>
    </row>
    <row r="87" spans="2:8" x14ac:dyDescent="0.25">
      <c r="B87" t="s">
        <v>68</v>
      </c>
      <c r="C87">
        <v>0.27163999999999999</v>
      </c>
      <c r="D87">
        <v>13.515874999999999</v>
      </c>
      <c r="E87">
        <v>20.097999999999999</v>
      </c>
      <c r="F87">
        <v>0</v>
      </c>
      <c r="G87" s="1">
        <f>F87/60</f>
        <v>0</v>
      </c>
      <c r="H87">
        <f>E87/20.098*100</f>
        <v>100</v>
      </c>
    </row>
    <row r="88" spans="2:8" x14ac:dyDescent="0.25">
      <c r="B88" t="s">
        <v>69</v>
      </c>
      <c r="C88">
        <v>0.28594599999999998</v>
      </c>
      <c r="D88">
        <v>14.512459</v>
      </c>
      <c r="E88">
        <v>19.704000000000001</v>
      </c>
      <c r="F88">
        <v>1332</v>
      </c>
      <c r="G88" s="1">
        <f>F88/60</f>
        <v>22.2</v>
      </c>
      <c r="H88">
        <f>E88/20.098*100</f>
        <v>98.039605930938407</v>
      </c>
    </row>
    <row r="89" spans="2:8" x14ac:dyDescent="0.25">
      <c r="B89" t="s">
        <v>71</v>
      </c>
      <c r="C89">
        <v>0.26732299999999998</v>
      </c>
      <c r="D89">
        <v>13.501348</v>
      </c>
      <c r="E89">
        <v>19.8</v>
      </c>
      <c r="F89">
        <v>1501</v>
      </c>
      <c r="G89" s="1">
        <f>F89/60</f>
        <v>25.016666666666666</v>
      </c>
      <c r="H89">
        <f>E89/20.098*100</f>
        <v>98.517265399542254</v>
      </c>
    </row>
    <row r="90" spans="2:8" x14ac:dyDescent="0.25">
      <c r="B90" t="s">
        <v>72</v>
      </c>
      <c r="C90">
        <v>0.22309499999999999</v>
      </c>
      <c r="D90">
        <v>11.850803000000001</v>
      </c>
      <c r="E90">
        <v>18.824999999999999</v>
      </c>
      <c r="F90">
        <v>1673</v>
      </c>
      <c r="G90" s="1">
        <f>F90/60</f>
        <v>27.883333333333333</v>
      </c>
      <c r="H90">
        <f>E90/20.098*100</f>
        <v>93.666036421534486</v>
      </c>
    </row>
    <row r="91" spans="2:8" x14ac:dyDescent="0.25">
      <c r="B91" t="s">
        <v>73</v>
      </c>
      <c r="C91">
        <v>0.23916100000000001</v>
      </c>
      <c r="D91">
        <v>12.739129</v>
      </c>
      <c r="E91">
        <v>18.774000000000001</v>
      </c>
      <c r="F91">
        <v>1776</v>
      </c>
      <c r="G91" s="1">
        <f>F91/60</f>
        <v>29.6</v>
      </c>
      <c r="H91">
        <f>E91/20.098*100</f>
        <v>93.412279828838692</v>
      </c>
    </row>
    <row r="93" spans="2:8" x14ac:dyDescent="0.25">
      <c r="B93" s="2" t="s">
        <v>76</v>
      </c>
    </row>
    <row r="94" spans="2:8" x14ac:dyDescent="0.25">
      <c r="B94" s="2" t="s">
        <v>77</v>
      </c>
    </row>
    <row r="95" spans="2:8" x14ac:dyDescent="0.25">
      <c r="B95" t="s">
        <v>78</v>
      </c>
      <c r="C95">
        <v>0.29269699999999998</v>
      </c>
      <c r="D95">
        <v>14.670494</v>
      </c>
      <c r="E95">
        <v>19.951000000000001</v>
      </c>
      <c r="F95">
        <v>0</v>
      </c>
      <c r="G95" s="1">
        <f>F95/60</f>
        <v>0</v>
      </c>
      <c r="H95">
        <f>E95/19.951*100</f>
        <v>100</v>
      </c>
    </row>
    <row r="96" spans="2:8" x14ac:dyDescent="0.25">
      <c r="B96" t="s">
        <v>79</v>
      </c>
      <c r="C96">
        <v>0.269094</v>
      </c>
      <c r="D96">
        <v>13.816716</v>
      </c>
      <c r="E96">
        <v>19.475999999999999</v>
      </c>
      <c r="F96">
        <v>1196</v>
      </c>
      <c r="G96" s="1">
        <f>F96/60</f>
        <v>19.933333333333334</v>
      </c>
      <c r="H96">
        <f>E96/19.951*100</f>
        <v>97.619166959049664</v>
      </c>
    </row>
    <row r="97" spans="2:8" x14ac:dyDescent="0.25">
      <c r="B97" t="s">
        <v>80</v>
      </c>
      <c r="F97">
        <v>0</v>
      </c>
      <c r="G97" s="1">
        <f>F97/60</f>
        <v>0</v>
      </c>
      <c r="H97">
        <f>E97/19.951*100</f>
        <v>0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Mihajlo</dc:creator>
  <cp:lastModifiedBy>Mihael Bucko</cp:lastModifiedBy>
  <dcterms:created xsi:type="dcterms:W3CDTF">2015-06-05T18:17:20Z</dcterms:created>
  <dcterms:modified xsi:type="dcterms:W3CDTF">2026-10-16T06:34:42Z</dcterms:modified>
</cp:coreProperties>
</file>